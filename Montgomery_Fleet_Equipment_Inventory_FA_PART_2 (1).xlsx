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F4E86FB5-7D7D-4FC3-8E5F-1C419A7BD5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tgomery_Fleet_Equipment_Inve" sheetId="1" r:id="rId1"/>
    <sheet name="Pivot Table 1" sheetId="3" r:id="rId2"/>
    <sheet name="Pivot Table 2 " sheetId="4" r:id="rId3"/>
    <sheet name="Pivot Table 3" sheetId="5" r:id="rId4"/>
  </sheets>
  <definedNames>
    <definedName name="_xlnm._FilterDatabase" localSheetId="0" hidden="1">Montgomery_Fleet_Equipment_Inve!$A$1:$C$50</definedName>
  </definedNames>
  <calcPr calcId="191028"/>
  <pivotCaches>
    <pivotCache cacheId="35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<sst xmlns="http://schemas.openxmlformats.org/spreadsheetml/2006/main" count="162" uniqueCount="41">
  <si>
    <t>Department</t>
  </si>
  <si>
    <t>Equipment Class</t>
  </si>
  <si>
    <t>Equipment Count</t>
  </si>
  <si>
    <t>Metric</t>
  </si>
  <si>
    <t>Value</t>
  </si>
  <si>
    <t>Housing and Community Affairs</t>
  </si>
  <si>
    <t>Pick Up Trucks</t>
  </si>
  <si>
    <t>Sum</t>
  </si>
  <si>
    <t>SUV</t>
  </si>
  <si>
    <t>Average</t>
  </si>
  <si>
    <t>Sedan</t>
  </si>
  <si>
    <t>Max</t>
  </si>
  <si>
    <t>Human Rights</t>
  </si>
  <si>
    <t xml:space="preserve">MIN </t>
  </si>
  <si>
    <t>Libraries</t>
  </si>
  <si>
    <t>Count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</si>
  <si>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</si>
  <si>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</si>
  <si>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</si>
  <si>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</si>
  <si>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</si>
  <si>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</si>
  <si>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</si>
  <si>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</si>
  <si>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</si>
  <si>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</si>
  <si>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</si>
  <si>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</si>
  <si>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</si>
  <si>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</si>
  <si>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</si>
  <si>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</si>
  <si>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</si>
  <si>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</si>
  <si>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</si>
  <si>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</si>
  <si>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</si>
  <si>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Grand Total</t>
  </si>
  <si>
    <t>Transportation Total</t>
  </si>
  <si>
    <t>Permitting Services Total</t>
  </si>
  <si>
    <t>Technology Services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</si>
</sst>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8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13413298611" createdVersion="8" refreshedVersion="8" minRefreshableVersion="3" recordCount="50" xr:uid="{BB342FE2-26A0-4DB2-90C8-AA0DB5A248FA}">
  <cacheSource type="worksheet">
    <worksheetSource ref="A1:F1048576" sheet="Montgomery_Fleet_Equipment_Inve"/>
  </cacheSource>
  <cacheFields count="6">
    <cacheField name="Department" numFmtId="0">
      <sharedItems containsBlank="1" count="13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  <m/>
      </sharedItems>
    </cacheField>
    <cacheField name="Equipment Class" numFmtId="0">
      <sharedItems containsBlank="1" count="15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  <m/>
      </sharedItems>
    </cacheField>
    <cacheField name="Equipment Count" numFmtId="0">
      <sharedItems containsString="0" containsBlank="1" containsNumber="1" containsInteger="1" minValue="1" maxValue="379"/>
    </cacheField>
    <cacheField name="Field4" caption="Field4" numFmtId="0">
      <sharedItems containsNonDate="0" containsString="0" containsBlank="1"/>
    </cacheField>
    <cacheField name="Metric" numFmtId="0">
      <sharedItems containsBlank="1"/>
    </cacheField>
    <cacheField name="Value" numFmtId="0">
      <sharedItems containsString="0" containsBlank="1" containsNumber="1" minValue="1" maxValue="15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n v="21"/>
    <m/>
    <s v="Sum"/>
    <n v="1582"/>
  </r>
  <r>
    <x v="0"/>
    <x v="1"/>
    <n v="1"/>
    <m/>
    <s v="Average"/>
    <n v="32.285714285714285"/>
  </r>
  <r>
    <x v="0"/>
    <x v="2"/>
    <n v="23"/>
    <m/>
    <s v="Max"/>
    <n v="379"/>
  </r>
  <r>
    <x v="1"/>
    <x v="2"/>
    <n v="2"/>
    <m/>
    <s v="MIN "/>
    <n v="1"/>
  </r>
  <r>
    <x v="2"/>
    <x v="0"/>
    <n v="3"/>
    <m/>
    <s v="Count"/>
    <n v="49"/>
  </r>
  <r>
    <x v="2"/>
    <x v="3"/>
    <n v="2"/>
    <m/>
    <m/>
    <m/>
  </r>
  <r>
    <x v="2"/>
    <x v="4"/>
    <n v="1"/>
    <m/>
    <m/>
    <m/>
  </r>
  <r>
    <x v="3"/>
    <x v="3"/>
    <n v="2"/>
    <m/>
    <m/>
    <m/>
  </r>
  <r>
    <x v="3"/>
    <x v="5"/>
    <n v="42"/>
    <m/>
    <m/>
    <m/>
  </r>
  <r>
    <x v="3"/>
    <x v="1"/>
    <n v="1"/>
    <m/>
    <m/>
    <m/>
  </r>
  <r>
    <x v="3"/>
    <x v="2"/>
    <n v="11"/>
    <m/>
    <m/>
    <m/>
  </r>
  <r>
    <x v="4"/>
    <x v="1"/>
    <n v="1"/>
    <m/>
    <m/>
    <m/>
  </r>
  <r>
    <x v="5"/>
    <x v="6"/>
    <n v="9"/>
    <m/>
    <m/>
    <m/>
  </r>
  <r>
    <x v="5"/>
    <x v="1"/>
    <n v="27"/>
    <m/>
    <m/>
    <m/>
  </r>
  <r>
    <x v="5"/>
    <x v="0"/>
    <n v="24"/>
    <m/>
    <m/>
    <m/>
  </r>
  <r>
    <x v="5"/>
    <x v="3"/>
    <n v="1"/>
    <m/>
    <m/>
    <m/>
  </r>
  <r>
    <x v="5"/>
    <x v="2"/>
    <n v="48"/>
    <m/>
    <m/>
    <m/>
  </r>
  <r>
    <x v="6"/>
    <x v="3"/>
    <n v="1"/>
    <m/>
    <m/>
    <m/>
  </r>
  <r>
    <x v="7"/>
    <x v="2"/>
    <n v="6"/>
    <m/>
    <m/>
    <m/>
  </r>
  <r>
    <x v="7"/>
    <x v="0"/>
    <n v="5"/>
    <m/>
    <m/>
    <m/>
  </r>
  <r>
    <x v="7"/>
    <x v="1"/>
    <n v="2"/>
    <m/>
    <m/>
    <m/>
  </r>
  <r>
    <x v="7"/>
    <x v="3"/>
    <n v="15"/>
    <m/>
    <m/>
    <m/>
  </r>
  <r>
    <x v="7"/>
    <x v="7"/>
    <n v="7"/>
    <m/>
    <m/>
    <m/>
  </r>
  <r>
    <x v="8"/>
    <x v="8"/>
    <n v="20"/>
    <m/>
    <m/>
    <m/>
  </r>
  <r>
    <x v="8"/>
    <x v="2"/>
    <n v="1"/>
    <m/>
    <m/>
    <m/>
  </r>
  <r>
    <x v="8"/>
    <x v="4"/>
    <n v="1"/>
    <m/>
    <m/>
    <m/>
  </r>
  <r>
    <x v="8"/>
    <x v="0"/>
    <n v="3"/>
    <m/>
    <m/>
    <m/>
  </r>
  <r>
    <x v="8"/>
    <x v="1"/>
    <n v="1"/>
    <m/>
    <m/>
    <m/>
  </r>
  <r>
    <x v="8"/>
    <x v="9"/>
    <n v="8"/>
    <m/>
    <m/>
    <m/>
  </r>
  <r>
    <x v="8"/>
    <x v="10"/>
    <n v="4"/>
    <m/>
    <m/>
    <m/>
  </r>
  <r>
    <x v="8"/>
    <x v="11"/>
    <n v="46"/>
    <m/>
    <m/>
    <m/>
  </r>
  <r>
    <x v="8"/>
    <x v="12"/>
    <n v="1"/>
    <m/>
    <m/>
    <m/>
  </r>
  <r>
    <x v="9"/>
    <x v="11"/>
    <n v="1"/>
    <m/>
    <m/>
    <m/>
  </r>
  <r>
    <x v="9"/>
    <x v="3"/>
    <n v="1"/>
    <m/>
    <m/>
    <m/>
  </r>
  <r>
    <x v="9"/>
    <x v="1"/>
    <n v="1"/>
    <m/>
    <m/>
    <m/>
  </r>
  <r>
    <x v="9"/>
    <x v="2"/>
    <n v="2"/>
    <m/>
    <m/>
    <m/>
  </r>
  <r>
    <x v="10"/>
    <x v="0"/>
    <n v="1"/>
    <m/>
    <m/>
    <m/>
  </r>
  <r>
    <x v="10"/>
    <x v="6"/>
    <n v="1"/>
    <m/>
    <m/>
    <m/>
  </r>
  <r>
    <x v="10"/>
    <x v="3"/>
    <n v="11"/>
    <m/>
    <m/>
    <m/>
  </r>
  <r>
    <x v="10"/>
    <x v="1"/>
    <n v="3"/>
    <m/>
    <m/>
    <m/>
  </r>
  <r>
    <x v="11"/>
    <x v="0"/>
    <n v="93"/>
    <m/>
    <m/>
    <m/>
  </r>
  <r>
    <x v="11"/>
    <x v="5"/>
    <n v="248"/>
    <m/>
    <m/>
    <m/>
  </r>
  <r>
    <x v="11"/>
    <x v="13"/>
    <n v="379"/>
    <m/>
    <m/>
    <m/>
  </r>
  <r>
    <x v="11"/>
    <x v="1"/>
    <n v="53"/>
    <m/>
    <m/>
    <m/>
  </r>
  <r>
    <x v="11"/>
    <x v="3"/>
    <n v="32"/>
    <m/>
    <m/>
    <m/>
  </r>
  <r>
    <x v="11"/>
    <x v="4"/>
    <n v="98"/>
    <m/>
    <m/>
    <m/>
  </r>
  <r>
    <x v="11"/>
    <x v="7"/>
    <n v="276"/>
    <m/>
    <m/>
    <m/>
  </r>
  <r>
    <x v="11"/>
    <x v="6"/>
    <n v="5"/>
    <m/>
    <m/>
    <m/>
  </r>
  <r>
    <x v="11"/>
    <x v="2"/>
    <n v="37"/>
    <m/>
    <m/>
    <m/>
  </r>
  <r>
    <x v="12"/>
    <x v="1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9437C-BD66-408A-A943-2EF2F227AF7C}" name="PivotTable1" cacheId="356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3:B16" firstHeaderRow="1" firstDataRow="1" firstDataCol="1"/>
  <pivotFields count="6">
    <pivotField axis="axisRow" compact="0" outline="0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39E9C-22CA-4D48-9418-C64D2857B447}" name="PivotTable2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6">
    <pivotField axis="axisRow" compact="0" outline="0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h="1"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x="1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22"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BAF3E-1508-450B-9AEC-C70A7F296E35}" name="PivotTable3" cacheId="3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" firstHeaderRow="1" firstDataRow="1" firstDataCol="2"/>
  <pivotFields count="6">
    <pivotField axis="axisRow" compact="0" outline="0" showAll="0" sortType="descending">
      <items count="14">
        <item sd="0" x="0"/>
        <item sd="0" x="1"/>
        <item sd="0" x="2"/>
        <item sd="0" x="3"/>
        <item sd="0" x="4"/>
        <item x="5"/>
        <item sd="0" x="6"/>
        <item sd="0" x="7"/>
        <item sd="0" x="8"/>
        <item sd="0" x="9"/>
        <item x="10"/>
        <item x="11"/>
        <item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16">
        <item x="6"/>
        <item h="1" x="5"/>
        <item h="1" x="4"/>
        <item h="1" x="7"/>
        <item h="1" x="0"/>
        <item h="1" x="10"/>
        <item h="1" x="12"/>
        <item h="1" x="11"/>
        <item h="1" x="8"/>
        <item h="1" x="9"/>
        <item h="1" x="2"/>
        <item h="1" x="1"/>
        <item h="1" x="13"/>
        <item h="1" x="3"/>
        <item h="1" x="1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0"/>
    <field x="1"/>
  </rowFields>
  <rowItems count="7">
    <i>
      <x v="5"/>
      <x/>
    </i>
    <i t="default">
      <x v="5"/>
    </i>
    <i>
      <x v="11"/>
      <x/>
    </i>
    <i t="default">
      <x v="11"/>
    </i>
    <i>
      <x v="10"/>
      <x/>
    </i>
    <i t="default">
      <x v="10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44CD35-CA27-4F0C-903B-8CEDE404F4E5}" name="Table1" displayName="Table1" ref="A1:C50" totalsRowShown="0">
  <autoFilter ref="A1:C50" xr:uid="{3044CD35-CA27-4F0C-903B-8CEDE404F4E5}">
    <filterColumn colId="0" hiddenButton="1"/>
    <filterColumn colId="1" hiddenButton="1"/>
    <filterColumn colId="2" hiddenButton="1"/>
  </autoFilter>
  <tableColumns count="3">
    <tableColumn id="1" xr3:uid="{138A9DAD-EB77-4C85-A905-D0A787B0ABB2}" name="Department"/>
    <tableColumn id="2" xr3:uid="{24600850-318C-4976-A6DE-EBFCF130CBA0}" name="Equipment Class"/>
    <tableColumn id="3" xr3:uid="{2E96EAFC-47F3-4E33-9A42-F4C4E657E73E}" name="Equipment 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487B55-DA57-426A-9A6B-81087EF677AA}" name="Table2" displayName="Table2" ref="E1:F6" totalsRowShown="0" headerRowDxfId="4" dataDxfId="3" tableBorderDxfId="2">
  <autoFilter ref="E1:F6" xr:uid="{4C487B55-DA57-426A-9A6B-81087EF677AA}">
    <filterColumn colId="0" hiddenButton="1"/>
    <filterColumn colId="1" hiddenButton="1"/>
  </autoFilter>
  <tableColumns count="2">
    <tableColumn id="1" xr3:uid="{CE2C0774-86EF-4521-B204-CB984864CCB5}" name="Metric" dataDxfId="1"/>
    <tableColumn id="2" xr3:uid="{CF7DD7A5-03C7-4F8F-9709-20478E4BBCBA}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selection activeCell="E1" sqref="E1:F6"/>
    </sheetView>
  </sheetViews>
  <sheetFormatPr defaultRowHeight="15"/>
  <cols>
    <col min="1" max="1" width="29.42578125" bestFit="1" customWidth="1"/>
    <col min="2" max="2" width="26.28515625" bestFit="1" customWidth="1"/>
    <col min="3" max="3" width="19.140625" bestFit="1" customWidth="1"/>
    <col min="5" max="5" width="9.28515625" bestFit="1" customWidth="1"/>
  </cols>
  <sheetData>
    <row r="1" spans="1:6">
      <c r="A1" t="s">
        <v>0</v>
      </c>
      <c r="B1" t="s">
        <v>1</v>
      </c>
      <c r="C1" t="s">
        <v>2</v>
      </c>
      <c r="E1" s="3" t="s">
        <v>3</v>
      </c>
      <c r="F1" s="3" t="s">
        <v>4</v>
      </c>
    </row>
    <row r="2" spans="1:6">
      <c r="A2" t="s">
        <v>5</v>
      </c>
      <c r="B2" t="s">
        <v>6</v>
      </c>
      <c r="C2">
        <v>21</v>
      </c>
      <c r="E2" s="4" t="s">
        <v>7</v>
      </c>
      <c r="F2" s="4">
        <f>SUM(Table1[Equipment Count])</f>
        <v>1582</v>
      </c>
    </row>
    <row r="3" spans="1:6">
      <c r="A3" t="s">
        <v>5</v>
      </c>
      <c r="B3" t="s">
        <v>8</v>
      </c>
      <c r="C3">
        <v>1</v>
      </c>
      <c r="E3" s="4" t="s">
        <v>9</v>
      </c>
      <c r="F3" s="6">
        <f>AVERAGE(Table1[Equipment Count])</f>
        <v>32.285714285714285</v>
      </c>
    </row>
    <row r="4" spans="1:6">
      <c r="A4" t="s">
        <v>5</v>
      </c>
      <c r="B4" t="s">
        <v>10</v>
      </c>
      <c r="C4">
        <v>23</v>
      </c>
      <c r="E4" s="4" t="s">
        <v>11</v>
      </c>
      <c r="F4" s="4">
        <f>MAX(Table1[Equipment Count])</f>
        <v>379</v>
      </c>
    </row>
    <row r="5" spans="1:6">
      <c r="A5" t="s">
        <v>12</v>
      </c>
      <c r="B5" t="s">
        <v>10</v>
      </c>
      <c r="C5">
        <v>2</v>
      </c>
      <c r="E5" s="4" t="s">
        <v>13</v>
      </c>
      <c r="F5" s="4">
        <f>MIN(Table1[Equipment Count])</f>
        <v>1</v>
      </c>
    </row>
    <row r="6" spans="1:6">
      <c r="A6" t="s">
        <v>14</v>
      </c>
      <c r="B6" t="s">
        <v>6</v>
      </c>
      <c r="C6">
        <v>3</v>
      </c>
      <c r="E6" s="5" t="s">
        <v>15</v>
      </c>
      <c r="F6" s="4">
        <f>COUNT(Table1[Equipment Count])</f>
        <v>49</v>
      </c>
    </row>
    <row r="7" spans="1:6">
      <c r="A7" t="s">
        <v>14</v>
      </c>
      <c r="B7" t="s">
        <v>16</v>
      </c>
      <c r="C7">
        <v>2</v>
      </c>
    </row>
    <row r="8" spans="1:6">
      <c r="A8" t="s">
        <v>14</v>
      </c>
      <c r="B8" t="s">
        <v>17</v>
      </c>
      <c r="C8">
        <v>1</v>
      </c>
    </row>
    <row r="9" spans="1:6">
      <c r="A9" t="s">
        <v>18</v>
      </c>
      <c r="B9" t="s">
        <v>16</v>
      </c>
      <c r="C9">
        <v>2</v>
      </c>
    </row>
    <row r="10" spans="1:6">
      <c r="A10" t="s">
        <v>18</v>
      </c>
      <c r="B10" t="s">
        <v>19</v>
      </c>
      <c r="C10">
        <v>42</v>
      </c>
    </row>
    <row r="11" spans="1:6">
      <c r="A11" t="s">
        <v>18</v>
      </c>
      <c r="B11" t="s">
        <v>8</v>
      </c>
      <c r="C11">
        <v>1</v>
      </c>
    </row>
    <row r="12" spans="1:6">
      <c r="A12" t="s">
        <v>18</v>
      </c>
      <c r="B12" t="s">
        <v>10</v>
      </c>
      <c r="C12">
        <v>11</v>
      </c>
    </row>
    <row r="13" spans="1:6">
      <c r="A13" t="s">
        <v>20</v>
      </c>
      <c r="B13" t="s">
        <v>8</v>
      </c>
      <c r="C13">
        <v>1</v>
      </c>
    </row>
    <row r="14" spans="1:6">
      <c r="A14" t="s">
        <v>21</v>
      </c>
      <c r="B14" t="s">
        <v>22</v>
      </c>
      <c r="C14">
        <v>9</v>
      </c>
    </row>
    <row r="15" spans="1:6">
      <c r="A15" t="s">
        <v>21</v>
      </c>
      <c r="B15" t="s">
        <v>8</v>
      </c>
      <c r="C15">
        <v>27</v>
      </c>
    </row>
    <row r="16" spans="1:6">
      <c r="A16" t="s">
        <v>21</v>
      </c>
      <c r="B16" t="s">
        <v>6</v>
      </c>
      <c r="C16">
        <v>24</v>
      </c>
    </row>
    <row r="17" spans="1:3">
      <c r="A17" t="s">
        <v>21</v>
      </c>
      <c r="B17" t="s">
        <v>16</v>
      </c>
      <c r="C17">
        <v>1</v>
      </c>
    </row>
    <row r="18" spans="1:3">
      <c r="A18" t="s">
        <v>21</v>
      </c>
      <c r="B18" t="s">
        <v>10</v>
      </c>
      <c r="C18">
        <v>48</v>
      </c>
    </row>
    <row r="19" spans="1:3">
      <c r="A19" t="s">
        <v>23</v>
      </c>
      <c r="B19" t="s">
        <v>16</v>
      </c>
      <c r="C19">
        <v>1</v>
      </c>
    </row>
    <row r="20" spans="1:3">
      <c r="A20" t="s">
        <v>24</v>
      </c>
      <c r="B20" t="s">
        <v>10</v>
      </c>
      <c r="C20">
        <v>6</v>
      </c>
    </row>
    <row r="21" spans="1:3">
      <c r="A21" t="s">
        <v>24</v>
      </c>
      <c r="B21" t="s">
        <v>6</v>
      </c>
      <c r="C21">
        <v>5</v>
      </c>
    </row>
    <row r="22" spans="1:3">
      <c r="A22" t="s">
        <v>24</v>
      </c>
      <c r="B22" t="s">
        <v>8</v>
      </c>
      <c r="C22">
        <v>2</v>
      </c>
    </row>
    <row r="23" spans="1:3">
      <c r="A23" t="s">
        <v>24</v>
      </c>
      <c r="B23" t="s">
        <v>16</v>
      </c>
      <c r="C23">
        <v>15</v>
      </c>
    </row>
    <row r="24" spans="1:3">
      <c r="A24" t="s">
        <v>24</v>
      </c>
      <c r="B24" t="s">
        <v>25</v>
      </c>
      <c r="C24">
        <v>7</v>
      </c>
    </row>
    <row r="25" spans="1:3">
      <c r="A25" t="s">
        <v>26</v>
      </c>
      <c r="B25" t="s">
        <v>27</v>
      </c>
      <c r="C25">
        <v>20</v>
      </c>
    </row>
    <row r="26" spans="1:3">
      <c r="A26" t="s">
        <v>26</v>
      </c>
      <c r="B26" t="s">
        <v>10</v>
      </c>
      <c r="C26">
        <v>1</v>
      </c>
    </row>
    <row r="27" spans="1:3">
      <c r="A27" t="s">
        <v>26</v>
      </c>
      <c r="B27" t="s">
        <v>17</v>
      </c>
      <c r="C27">
        <v>1</v>
      </c>
    </row>
    <row r="28" spans="1:3">
      <c r="A28" t="s">
        <v>26</v>
      </c>
      <c r="B28" t="s">
        <v>6</v>
      </c>
      <c r="C28">
        <v>3</v>
      </c>
    </row>
    <row r="29" spans="1:3">
      <c r="A29" t="s">
        <v>26</v>
      </c>
      <c r="B29" t="s">
        <v>8</v>
      </c>
      <c r="C29">
        <v>1</v>
      </c>
    </row>
    <row r="30" spans="1:3">
      <c r="A30" t="s">
        <v>26</v>
      </c>
      <c r="B30" t="s">
        <v>28</v>
      </c>
      <c r="C30">
        <v>8</v>
      </c>
    </row>
    <row r="31" spans="1:3">
      <c r="A31" t="s">
        <v>26</v>
      </c>
      <c r="B31" t="s">
        <v>29</v>
      </c>
      <c r="C31">
        <v>4</v>
      </c>
    </row>
    <row r="32" spans="1:3">
      <c r="A32" t="s">
        <v>26</v>
      </c>
      <c r="B32" t="s">
        <v>30</v>
      </c>
      <c r="C32">
        <v>46</v>
      </c>
    </row>
    <row r="33" spans="1:3">
      <c r="A33" t="s">
        <v>26</v>
      </c>
      <c r="B33" t="s">
        <v>31</v>
      </c>
      <c r="C33">
        <v>1</v>
      </c>
    </row>
    <row r="34" spans="1:3">
      <c r="A34" t="s">
        <v>32</v>
      </c>
      <c r="B34" t="s">
        <v>30</v>
      </c>
      <c r="C34">
        <v>1</v>
      </c>
    </row>
    <row r="35" spans="1:3">
      <c r="A35" t="s">
        <v>32</v>
      </c>
      <c r="B35" t="s">
        <v>16</v>
      </c>
      <c r="C35">
        <v>1</v>
      </c>
    </row>
    <row r="36" spans="1:3">
      <c r="A36" t="s">
        <v>32</v>
      </c>
      <c r="B36" t="s">
        <v>8</v>
      </c>
      <c r="C36">
        <v>1</v>
      </c>
    </row>
    <row r="37" spans="1:3">
      <c r="A37" t="s">
        <v>32</v>
      </c>
      <c r="B37" t="s">
        <v>10</v>
      </c>
      <c r="C37">
        <v>2</v>
      </c>
    </row>
    <row r="38" spans="1:3">
      <c r="A38" t="s">
        <v>33</v>
      </c>
      <c r="B38" t="s">
        <v>6</v>
      </c>
      <c r="C38">
        <v>1</v>
      </c>
    </row>
    <row r="39" spans="1:3">
      <c r="A39" t="s">
        <v>33</v>
      </c>
      <c r="B39" t="s">
        <v>22</v>
      </c>
      <c r="C39">
        <v>1</v>
      </c>
    </row>
    <row r="40" spans="1:3">
      <c r="A40" t="s">
        <v>33</v>
      </c>
      <c r="B40" t="s">
        <v>16</v>
      </c>
      <c r="C40">
        <v>11</v>
      </c>
    </row>
    <row r="41" spans="1:3">
      <c r="A41" t="s">
        <v>33</v>
      </c>
      <c r="B41" t="s">
        <v>8</v>
      </c>
      <c r="C41">
        <v>3</v>
      </c>
    </row>
    <row r="42" spans="1:3">
      <c r="A42" t="s">
        <v>34</v>
      </c>
      <c r="B42" t="s">
        <v>6</v>
      </c>
      <c r="C42">
        <v>93</v>
      </c>
    </row>
    <row r="43" spans="1:3">
      <c r="A43" t="s">
        <v>34</v>
      </c>
      <c r="B43" t="s">
        <v>19</v>
      </c>
      <c r="C43">
        <v>248</v>
      </c>
    </row>
    <row r="44" spans="1:3">
      <c r="A44" t="s">
        <v>34</v>
      </c>
      <c r="B44" t="s">
        <v>35</v>
      </c>
      <c r="C44">
        <v>379</v>
      </c>
    </row>
    <row r="45" spans="1:3">
      <c r="A45" t="s">
        <v>34</v>
      </c>
      <c r="B45" t="s">
        <v>8</v>
      </c>
      <c r="C45">
        <v>53</v>
      </c>
    </row>
    <row r="46" spans="1:3">
      <c r="A46" t="s">
        <v>34</v>
      </c>
      <c r="B46" t="s">
        <v>16</v>
      </c>
      <c r="C46">
        <v>32</v>
      </c>
    </row>
    <row r="47" spans="1:3">
      <c r="A47" t="s">
        <v>34</v>
      </c>
      <c r="B47" t="s">
        <v>17</v>
      </c>
      <c r="C47">
        <v>98</v>
      </c>
    </row>
    <row r="48" spans="1:3">
      <c r="A48" t="s">
        <v>34</v>
      </c>
      <c r="B48" t="s">
        <v>25</v>
      </c>
      <c r="C48">
        <v>276</v>
      </c>
    </row>
    <row r="49" spans="1:3">
      <c r="A49" t="s">
        <v>34</v>
      </c>
      <c r="B49" t="s">
        <v>22</v>
      </c>
      <c r="C49">
        <v>5</v>
      </c>
    </row>
    <row r="50" spans="1:3">
      <c r="A50" t="s">
        <v>34</v>
      </c>
      <c r="B50" t="s">
        <v>10</v>
      </c>
      <c r="C50">
        <v>37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D73A-7E8D-4BAE-9AD6-6F272946671A}">
  <dimension ref="A3:B16"/>
  <sheetViews>
    <sheetView workbookViewId="0">
      <selection activeCell="B3" sqref="B3"/>
    </sheetView>
  </sheetViews>
  <sheetFormatPr defaultRowHeight="15"/>
  <cols>
    <col min="1" max="1" width="29.28515625" bestFit="1" customWidth="1"/>
    <col min="2" max="2" width="23.85546875" bestFit="1" customWidth="1"/>
  </cols>
  <sheetData>
    <row r="3" spans="1:2">
      <c r="A3" s="1" t="s">
        <v>0</v>
      </c>
      <c r="B3" t="s">
        <v>36</v>
      </c>
    </row>
    <row r="4" spans="1:2">
      <c r="A4" t="s">
        <v>34</v>
      </c>
      <c r="B4" s="2">
        <v>1221</v>
      </c>
    </row>
    <row r="5" spans="1:2">
      <c r="A5" t="s">
        <v>21</v>
      </c>
      <c r="B5" s="2">
        <v>109</v>
      </c>
    </row>
    <row r="6" spans="1:2">
      <c r="A6" t="s">
        <v>26</v>
      </c>
      <c r="B6" s="2">
        <v>85</v>
      </c>
    </row>
    <row r="7" spans="1:2">
      <c r="A7" t="s">
        <v>18</v>
      </c>
      <c r="B7" s="2">
        <v>56</v>
      </c>
    </row>
    <row r="8" spans="1:2">
      <c r="A8" t="s">
        <v>5</v>
      </c>
      <c r="B8" s="2">
        <v>45</v>
      </c>
    </row>
    <row r="9" spans="1:2">
      <c r="A9" t="s">
        <v>24</v>
      </c>
      <c r="B9" s="2">
        <v>35</v>
      </c>
    </row>
    <row r="10" spans="1:2">
      <c r="A10" t="s">
        <v>33</v>
      </c>
      <c r="B10" s="2">
        <v>16</v>
      </c>
    </row>
    <row r="11" spans="1:2">
      <c r="A11" t="s">
        <v>14</v>
      </c>
      <c r="B11" s="2">
        <v>6</v>
      </c>
    </row>
    <row r="12" spans="1:2">
      <c r="A12" t="s">
        <v>32</v>
      </c>
      <c r="B12" s="2">
        <v>5</v>
      </c>
    </row>
    <row r="13" spans="1:2">
      <c r="A13" t="s">
        <v>12</v>
      </c>
      <c r="B13" s="2">
        <v>2</v>
      </c>
    </row>
    <row r="14" spans="1:2">
      <c r="A14" t="s">
        <v>20</v>
      </c>
      <c r="B14" s="2">
        <v>1</v>
      </c>
    </row>
    <row r="15" spans="1:2">
      <c r="A15" t="s">
        <v>23</v>
      </c>
      <c r="B15" s="2">
        <v>1</v>
      </c>
    </row>
    <row r="16" spans="1:2">
      <c r="A16" t="s">
        <v>37</v>
      </c>
      <c r="B16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473B-32C6-48D8-B64C-9EE412D0F8EE}">
  <dimension ref="A3:C25"/>
  <sheetViews>
    <sheetView workbookViewId="0">
      <selection activeCell="A4" sqref="A4"/>
    </sheetView>
  </sheetViews>
  <sheetFormatPr defaultRowHeight="15"/>
  <cols>
    <col min="1" max="1" width="29.28515625" bestFit="1" customWidth="1"/>
    <col min="2" max="2" width="26.28515625" bestFit="1" customWidth="1"/>
    <col min="3" max="3" width="23.85546875" bestFit="1" customWidth="1"/>
  </cols>
  <sheetData>
    <row r="3" spans="1:3">
      <c r="A3" s="1" t="s">
        <v>0</v>
      </c>
      <c r="B3" s="1" t="s">
        <v>1</v>
      </c>
      <c r="C3" t="s">
        <v>36</v>
      </c>
    </row>
    <row r="4" spans="1:3">
      <c r="A4" t="s">
        <v>34</v>
      </c>
      <c r="B4" t="s">
        <v>22</v>
      </c>
      <c r="C4" s="2">
        <v>5</v>
      </c>
    </row>
    <row r="5" spans="1:3">
      <c r="B5" t="s">
        <v>19</v>
      </c>
      <c r="C5" s="2">
        <v>248</v>
      </c>
    </row>
    <row r="6" spans="1:3">
      <c r="B6" t="s">
        <v>17</v>
      </c>
      <c r="C6" s="2">
        <v>98</v>
      </c>
    </row>
    <row r="7" spans="1:3">
      <c r="B7" t="s">
        <v>25</v>
      </c>
      <c r="C7" s="2">
        <v>276</v>
      </c>
    </row>
    <row r="8" spans="1:3">
      <c r="B8" t="s">
        <v>6</v>
      </c>
      <c r="C8" s="2">
        <v>93</v>
      </c>
    </row>
    <row r="9" spans="1:3">
      <c r="B9" t="s">
        <v>10</v>
      </c>
      <c r="C9" s="2">
        <v>37</v>
      </c>
    </row>
    <row r="10" spans="1:3">
      <c r="B10" t="s">
        <v>8</v>
      </c>
      <c r="C10" s="2">
        <v>53</v>
      </c>
    </row>
    <row r="11" spans="1:3">
      <c r="B11" t="s">
        <v>35</v>
      </c>
      <c r="C11" s="2">
        <v>379</v>
      </c>
    </row>
    <row r="12" spans="1:3">
      <c r="B12" t="s">
        <v>16</v>
      </c>
      <c r="C12" s="2">
        <v>32</v>
      </c>
    </row>
    <row r="13" spans="1:3">
      <c r="A13" t="s">
        <v>38</v>
      </c>
      <c r="C13" s="2">
        <v>1221</v>
      </c>
    </row>
    <row r="14" spans="1:3">
      <c r="A14" t="s">
        <v>21</v>
      </c>
      <c r="C14" s="2">
        <v>109</v>
      </c>
    </row>
    <row r="15" spans="1:3">
      <c r="A15" t="s">
        <v>26</v>
      </c>
      <c r="C15" s="2">
        <v>85</v>
      </c>
    </row>
    <row r="16" spans="1:3">
      <c r="A16" t="s">
        <v>18</v>
      </c>
      <c r="C16" s="2">
        <v>56</v>
      </c>
    </row>
    <row r="17" spans="1:3">
      <c r="A17" t="s">
        <v>5</v>
      </c>
      <c r="C17" s="2">
        <v>45</v>
      </c>
    </row>
    <row r="18" spans="1:3">
      <c r="A18" t="s">
        <v>24</v>
      </c>
      <c r="C18" s="2">
        <v>35</v>
      </c>
    </row>
    <row r="19" spans="1:3">
      <c r="A19" t="s">
        <v>33</v>
      </c>
      <c r="C19" s="2">
        <v>16</v>
      </c>
    </row>
    <row r="20" spans="1:3">
      <c r="A20" t="s">
        <v>14</v>
      </c>
      <c r="C20" s="2">
        <v>6</v>
      </c>
    </row>
    <row r="21" spans="1:3">
      <c r="A21" t="s">
        <v>32</v>
      </c>
      <c r="C21" s="2">
        <v>5</v>
      </c>
    </row>
    <row r="22" spans="1:3">
      <c r="A22" t="s">
        <v>12</v>
      </c>
      <c r="C22" s="2">
        <v>2</v>
      </c>
    </row>
    <row r="23" spans="1:3">
      <c r="A23" t="s">
        <v>20</v>
      </c>
      <c r="C23" s="2">
        <v>1</v>
      </c>
    </row>
    <row r="24" spans="1:3">
      <c r="A24" t="s">
        <v>23</v>
      </c>
      <c r="C24" s="2">
        <v>1</v>
      </c>
    </row>
    <row r="25" spans="1:3">
      <c r="A25" t="s">
        <v>37</v>
      </c>
      <c r="C25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1A07-0D89-4BCB-A0A9-5179243FED9C}">
  <dimension ref="A3:C10"/>
  <sheetViews>
    <sheetView workbookViewId="0">
      <selection activeCell="A15" sqref="A15"/>
    </sheetView>
  </sheetViews>
  <sheetFormatPr defaultRowHeight="15"/>
  <cols>
    <col min="1" max="1" width="29.28515625" bestFit="1" customWidth="1"/>
    <col min="2" max="2" width="19.140625" bestFit="1" customWidth="1"/>
    <col min="3" max="3" width="23.85546875" bestFit="1" customWidth="1"/>
  </cols>
  <sheetData>
    <row r="3" spans="1:3">
      <c r="A3" s="1" t="s">
        <v>0</v>
      </c>
      <c r="B3" s="1" t="s">
        <v>1</v>
      </c>
      <c r="C3" t="s">
        <v>36</v>
      </c>
    </row>
    <row r="4" spans="1:3">
      <c r="A4" t="s">
        <v>21</v>
      </c>
      <c r="B4" t="s">
        <v>22</v>
      </c>
      <c r="C4" s="2">
        <v>9</v>
      </c>
    </row>
    <row r="5" spans="1:3">
      <c r="A5" t="s">
        <v>39</v>
      </c>
      <c r="C5" s="2">
        <v>9</v>
      </c>
    </row>
    <row r="6" spans="1:3">
      <c r="A6" t="s">
        <v>34</v>
      </c>
      <c r="B6" t="s">
        <v>22</v>
      </c>
      <c r="C6" s="2">
        <v>5</v>
      </c>
    </row>
    <row r="7" spans="1:3">
      <c r="A7" t="s">
        <v>38</v>
      </c>
      <c r="C7" s="2">
        <v>5</v>
      </c>
    </row>
    <row r="8" spans="1:3">
      <c r="A8" t="s">
        <v>33</v>
      </c>
      <c r="B8" t="s">
        <v>22</v>
      </c>
      <c r="C8" s="2">
        <v>1</v>
      </c>
    </row>
    <row r="9" spans="1:3">
      <c r="A9" t="s">
        <v>40</v>
      </c>
      <c r="C9" s="2">
        <v>1</v>
      </c>
    </row>
    <row r="10" spans="1:3">
      <c r="A10" t="s">
        <v>37</v>
      </c>
      <c r="C10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2026-08-18T12:58:41Z</dcterms:modified>
  <cp:category/>
  <cp:contentStatus/>
</cp:coreProperties>
</file>